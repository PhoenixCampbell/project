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ulty-Class Match Backlog" sheetId="1" r:id="rId4"/>
    <sheet state="visible" name="Sprint1" sheetId="2" r:id="rId5"/>
    <sheet state="visible" name="Sprint2" sheetId="3" r:id="rId6"/>
    <sheet state="visible" name="Sprint3" sheetId="4" r:id="rId7"/>
    <sheet state="visible" name="Sprint4" sheetId="5" r:id="rId8"/>
  </sheets>
  <definedNames/>
  <calcPr/>
  <extLst>
    <ext uri="GoogleSheetsCustomDataVersion2">
      <go:sheetsCustomData xmlns:go="http://customooxmlschemas.google.com/" r:id="rId9" roundtripDataChecksum="3bFrPDyhI/WQXJuehC2kTicQM+/f1S6Thm/xBM+EYq8="/>
    </ext>
  </extLst>
</workbook>
</file>

<file path=xl/sharedStrings.xml><?xml version="1.0" encoding="utf-8"?>
<sst xmlns="http://schemas.openxmlformats.org/spreadsheetml/2006/main" count="235" uniqueCount="95">
  <si>
    <t>ID</t>
  </si>
  <si>
    <t>User Story</t>
  </si>
  <si>
    <t>Criteria</t>
  </si>
  <si>
    <t>Priority</t>
  </si>
  <si>
    <t>Status</t>
  </si>
  <si>
    <t>Progress Tracker</t>
  </si>
  <si>
    <t>EPIC 1: Core Faculty Preference System (MVP)</t>
  </si>
  <si>
    <t>Count</t>
  </si>
  <si>
    <t>1.1</t>
  </si>
  <si>
    <t>Faculty login using college password</t>
  </si>
  <si>
    <t>Login per college; invalid shows error; no individual accounts</t>
  </si>
  <si>
    <t>High</t>
  </si>
  <si>
    <t>Completed</t>
  </si>
  <si>
    <t>Not Started</t>
  </si>
  <si>
    <t>1.2</t>
  </si>
  <si>
    <t>Term selection with dynamic course list</t>
  </si>
  <si>
    <t>Dropdown term populates course list</t>
  </si>
  <si>
    <t>Ongoing</t>
  </si>
  <si>
    <t>1.3</t>
  </si>
  <si>
    <t>Rate courses 0–4</t>
  </si>
  <si>
    <t>Ratings validated and saved</t>
  </si>
  <si>
    <t>1.4</t>
  </si>
  <si>
    <t>Store faculty preferences</t>
  </si>
  <si>
    <t>Saved to CSV or SQLite</t>
  </si>
  <si>
    <t>1.5</t>
  </si>
  <si>
    <t>Submit preferences</t>
  </si>
  <si>
    <t>Submit button validates and confirms</t>
  </si>
  <si>
    <t>EPIC 2: Solver Integration</t>
  </si>
  <si>
    <t>2.1</t>
  </si>
  <si>
    <t>Admin triggers solver</t>
  </si>
  <si>
    <t>Button runs backend and generates Excel</t>
  </si>
  <si>
    <t>2.2</t>
  </si>
  <si>
    <t>Generate Python solver script</t>
  </si>
  <si>
    <t>Hard/soft constraints encoded</t>
  </si>
  <si>
    <t>2.3</t>
  </si>
  <si>
    <t>Export Excel results</t>
  </si>
  <si>
    <t>Downloadable solution.xlsx</t>
  </si>
  <si>
    <t>EPIC 3: Admin Review &amp; Data Management</t>
  </si>
  <si>
    <t>3.1</t>
  </si>
  <si>
    <t>Download faculty preferences</t>
  </si>
  <si>
    <t>Export pre-solver preferences via pandas</t>
  </si>
  <si>
    <t>3.2</t>
  </si>
  <si>
    <t>View solver output page</t>
  </si>
  <si>
    <t>Table showing assignments; re-run solver option</t>
  </si>
  <si>
    <t>Medium</t>
  </si>
  <si>
    <t>3.3</t>
  </si>
  <si>
    <t>Handle crosslisted courses</t>
  </si>
  <si>
    <t>470/570 treated as one</t>
  </si>
  <si>
    <t>EPIC 4: Deployment &amp; Hosting</t>
  </si>
  <si>
    <t>4.1</t>
  </si>
  <si>
    <t>Host app on DSU domain</t>
  </si>
  <si>
    <t>App resolves on bim.inclass.today</t>
  </si>
  <si>
    <t>4.2</t>
  </si>
  <si>
    <t>GitHub CI validation</t>
  </si>
  <si>
    <t>Linting and validation on push</t>
  </si>
  <si>
    <t>Low</t>
  </si>
  <si>
    <t>Add Testing Framework</t>
  </si>
  <si>
    <t>Automated tests run on js, html, and python</t>
  </si>
  <si>
    <t>EPIC 5: Quality &amp; Maintenance</t>
  </si>
  <si>
    <t>5.1</t>
  </si>
  <si>
    <t>Avoid feature creep</t>
  </si>
  <si>
    <t>No new features without approval</t>
  </si>
  <si>
    <t>Critical</t>
  </si>
  <si>
    <t>5.2</t>
  </si>
  <si>
    <t>Documentation updates</t>
  </si>
  <si>
    <t>README and comments updated each sprint</t>
  </si>
  <si>
    <t>5.3</t>
  </si>
  <si>
    <t>Version control on GitHub</t>
  </si>
  <si>
    <t>All assets tracked with branch naming conventions</t>
  </si>
  <si>
    <t>EPIC 6: Bringin it Home</t>
  </si>
  <si>
    <t>Add tests</t>
  </si>
  <si>
    <t>Tests for python, javascript, and html Code coverage</t>
  </si>
  <si>
    <t>Reflections Paper</t>
  </si>
  <si>
    <t xml:space="preserve">3 page paper with inputs from everyone </t>
  </si>
  <si>
    <t>Peer Reviews</t>
  </si>
  <si>
    <t>Submission of peer review from everyone. NO AI</t>
  </si>
  <si>
    <t>Create Slide Deck</t>
  </si>
  <si>
    <t>Any slides necessary to describe project for final presentation</t>
  </si>
  <si>
    <t>Create Final Presentation</t>
  </si>
  <si>
    <t>Final presentation/ slide deck/ video of working project</t>
  </si>
  <si>
    <t>d</t>
  </si>
  <si>
    <t>Story Points</t>
  </si>
  <si>
    <t>Assignee</t>
  </si>
  <si>
    <t>Points Status</t>
  </si>
  <si>
    <t>Ryan</t>
  </si>
  <si>
    <t>Phoenix</t>
  </si>
  <si>
    <t>Sprint Story Points Total</t>
  </si>
  <si>
    <t>Andy</t>
  </si>
  <si>
    <t>Add testing framework</t>
  </si>
  <si>
    <t>Test framework to run automated tests added</t>
  </si>
  <si>
    <t>ALL</t>
  </si>
  <si>
    <t>Zack</t>
  </si>
  <si>
    <t>Tests for python, javascript, and html added were applicable. Code coverage metric increased</t>
  </si>
  <si>
    <t>3 page paper with inputs from everyone of what went well and what could have been improved</t>
  </si>
  <si>
    <t>Final presentation covering slide deck and video of working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</si>
</sst>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mbria"/>
    </font>
    <font>
      <b/>
      <sz val="11.0"/>
      <color rgb="FFFFFFFF"/>
      <name val="Cambria"/>
    </font>
    <font/>
    <font>
      <color theme="1"/>
      <name val="Calibri"/>
      <scheme val="minor"/>
    </font>
    <font>
      <sz val="11.0"/>
      <color theme="1"/>
      <name val="Calibri"/>
    </font>
    <font>
      <color rgb="FF000000"/>
      <name val="Calibri"/>
      <scheme val="minor"/>
    </font>
    <font>
      <b/>
      <color theme="1"/>
      <name val="Cambria"/>
    </font>
  </fonts>
  <fills count="6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FF9999"/>
        <bgColor rgb="FFFF9999"/>
      </patternFill>
    </fill>
    <fill>
      <patternFill patternType="solid">
        <fgColor rgb="FFFFF599"/>
        <bgColor rgb="FFFFF599"/>
      </patternFill>
    </fill>
    <fill>
      <patternFill patternType="solid">
        <fgColor rgb="FFC6EFCE"/>
        <bgColor rgb="FFC6EFCE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0" fillId="0" fontId="4" numFmtId="0" xfId="0" applyAlignment="1" applyFont="1">
      <alignment readingOrder="0"/>
    </xf>
    <xf borderId="4" fillId="3" fontId="5" numFmtId="0" xfId="0" applyAlignment="1" applyBorder="1" applyFill="1" applyFont="1">
      <alignment horizontal="center" readingOrder="0" shrinkToFit="0" vertical="bottom" wrapText="0"/>
    </xf>
    <xf borderId="0" fillId="0" fontId="5" numFmtId="0" xfId="0" applyAlignment="1" applyFont="1">
      <alignment shrinkToFit="0" vertical="bottom" wrapText="0"/>
    </xf>
    <xf borderId="4" fillId="4" fontId="5" numFmtId="0" xfId="0" applyAlignment="1" applyBorder="1" applyFill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4" fillId="5" fontId="5" numFmtId="0" xfId="0" applyAlignment="1" applyBorder="1" applyFill="1" applyFont="1">
      <alignment horizontal="center" readingOrder="0" shrinkToFit="0" vertical="bottom" wrapText="0"/>
    </xf>
    <xf borderId="0" fillId="0" fontId="4" numFmtId="0" xfId="0" applyAlignment="1" applyFont="1">
      <alignment horizontal="left" readingOrder="0"/>
    </xf>
    <xf borderId="4" fillId="5" fontId="5" numFmtId="0" xfId="0" applyAlignment="1" applyBorder="1" applyFont="1">
      <alignment horizontal="center" shrinkToFit="0" vertical="bottom" wrapText="0"/>
    </xf>
    <xf borderId="4" fillId="4" fontId="5" numFmtId="0" xfId="0" applyAlignment="1" applyBorder="1" applyFont="1">
      <alignment horizontal="center" shrinkToFit="0" vertical="bottom" wrapText="0"/>
    </xf>
    <xf borderId="1" fillId="2" fontId="2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horizontal="left" readingOrder="0" vertical="bottom"/>
    </xf>
    <xf borderId="0" fillId="0" fontId="7" numFmtId="0" xfId="0" applyAlignment="1" applyFont="1">
      <alignment horizontal="center" readingOrder="0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left" readingOrder="0" vertical="bottom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horizontal="center" readingOrder="0" vertical="bottom"/>
    </xf>
    <xf borderId="0" fillId="0" fontId="4" numFmtId="0" xfId="0" applyAlignment="1" applyFont="1">
      <alignment horizontal="right" readingOrder="0" vertical="bottom"/>
    </xf>
  </cellXfs>
  <cellStyles count="1">
    <cellStyle xfId="0" name="Normal" builtinId="0"/>
  </cellStyles>
  <dxfs count="3">
    <dxf>
      <font/>
      <fill>
        <patternFill patternType="solid">
          <fgColor rgb="FFFF9999"/>
          <bgColor rgb="FFFF9999"/>
        </patternFill>
      </fill>
      <border/>
    </dxf>
    <dxf>
      <font/>
      <fill>
        <patternFill patternType="solid">
          <fgColor rgb="FFFFF599"/>
          <bgColor rgb="FFFFF599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Project Progress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'Faculty-Class Match Backlog'!$I$2</c:f>
            </c:strRef>
          </c:tx>
          <c:dPt>
            <c:idx val="0"/>
            <c:spPr>
              <a:solidFill>
                <a:srgbClr val="CC0000"/>
              </a:solidFill>
            </c:spPr>
          </c:dPt>
          <c:dPt>
            <c:idx val="1"/>
            <c:spPr>
              <a:solidFill>
                <a:srgbClr val="F1C232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'Faculty-Class Match Backlog'!$H$3:$H$5</c:f>
            </c:strRef>
          </c:cat>
          <c:val>
            <c:numRef>
              <c:f>'Faculty-Class Match Backlog'!$I$3:$I$5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552450</xdr:colOff>
      <xdr:row>5</xdr:row>
      <xdr:rowOff>180975</xdr:rowOff>
    </xdr:from>
    <xdr:ext cx="3409950" cy="2828925"/>
    <xdr:graphicFrame>
      <xdr:nvGraphicFramePr>
        <xdr:cNvPr id="155223878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5.43"/>
    <col customWidth="1" min="3" max="3" width="53.14"/>
    <col customWidth="1" min="4" max="4" width="12.0"/>
    <col customWidth="1" min="5" max="5" width="15.0"/>
    <col customWidth="1" min="6" max="7" width="8.71"/>
    <col customWidth="1" min="8" max="8" width="11.71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2" t="s">
        <v>5</v>
      </c>
    </row>
    <row r="2">
      <c r="A2" s="3" t="s">
        <v>6</v>
      </c>
      <c r="B2" s="4"/>
      <c r="C2" s="4"/>
      <c r="D2" s="4"/>
      <c r="E2" s="5"/>
      <c r="H2" s="2" t="s">
        <v>4</v>
      </c>
      <c r="I2" s="2" t="s">
        <v>7</v>
      </c>
    </row>
    <row r="3">
      <c r="A3" s="6" t="s">
        <v>8</v>
      </c>
      <c r="B3" s="6" t="s">
        <v>9</v>
      </c>
      <c r="C3" s="6" t="s">
        <v>10</v>
      </c>
      <c r="D3" s="7" t="s">
        <v>11</v>
      </c>
      <c r="E3" s="8" t="s">
        <v>12</v>
      </c>
      <c r="H3" s="6" t="s">
        <v>13</v>
      </c>
      <c r="I3" s="6">
        <f>COUNTIF($E$2:$E$29,"Not Started")</f>
        <v>1</v>
      </c>
    </row>
    <row r="4">
      <c r="A4" s="6" t="s">
        <v>14</v>
      </c>
      <c r="B4" s="6" t="s">
        <v>15</v>
      </c>
      <c r="C4" s="6" t="s">
        <v>16</v>
      </c>
      <c r="D4" s="9" t="s">
        <v>11</v>
      </c>
      <c r="E4" s="8" t="s">
        <v>12</v>
      </c>
      <c r="H4" s="6" t="s">
        <v>17</v>
      </c>
      <c r="I4" s="6">
        <f>COUNTIF($E$2:$E$29,"Ongoing")</f>
        <v>4</v>
      </c>
    </row>
    <row r="5">
      <c r="A5" s="6" t="s">
        <v>18</v>
      </c>
      <c r="B5" s="6" t="s">
        <v>19</v>
      </c>
      <c r="C5" s="6" t="s">
        <v>20</v>
      </c>
      <c r="D5" s="9" t="s">
        <v>11</v>
      </c>
      <c r="E5" s="10" t="s">
        <v>12</v>
      </c>
      <c r="H5" s="6" t="s">
        <v>12</v>
      </c>
      <c r="I5" s="6">
        <f>COUNTIF($E$2:$E$29,"Completed")</f>
        <v>17</v>
      </c>
    </row>
    <row r="6">
      <c r="A6" s="6" t="s">
        <v>21</v>
      </c>
      <c r="B6" s="6" t="s">
        <v>22</v>
      </c>
      <c r="C6" s="6" t="s">
        <v>23</v>
      </c>
      <c r="D6" s="9" t="s">
        <v>11</v>
      </c>
      <c r="E6" s="8" t="s">
        <v>12</v>
      </c>
    </row>
    <row r="7">
      <c r="A7" s="6" t="s">
        <v>24</v>
      </c>
      <c r="B7" s="6" t="s">
        <v>25</v>
      </c>
      <c r="C7" s="6" t="s">
        <v>26</v>
      </c>
      <c r="D7" s="11" t="s">
        <v>11</v>
      </c>
      <c r="E7" s="8" t="s">
        <v>12</v>
      </c>
    </row>
    <row r="8">
      <c r="A8" s="3" t="s">
        <v>27</v>
      </c>
      <c r="B8" s="4"/>
      <c r="C8" s="4"/>
      <c r="D8" s="4"/>
      <c r="E8" s="5"/>
    </row>
    <row r="9">
      <c r="A9" s="6" t="s">
        <v>28</v>
      </c>
      <c r="B9" s="6" t="s">
        <v>29</v>
      </c>
      <c r="C9" s="6" t="s">
        <v>30</v>
      </c>
      <c r="D9" s="9" t="s">
        <v>11</v>
      </c>
      <c r="E9" s="8" t="s">
        <v>12</v>
      </c>
    </row>
    <row r="10">
      <c r="A10" s="6" t="s">
        <v>31</v>
      </c>
      <c r="B10" s="6" t="s">
        <v>32</v>
      </c>
      <c r="C10" s="6" t="s">
        <v>33</v>
      </c>
      <c r="D10" s="9" t="s">
        <v>11</v>
      </c>
      <c r="E10" s="8" t="s">
        <v>12</v>
      </c>
    </row>
    <row r="11">
      <c r="A11" s="6" t="s">
        <v>34</v>
      </c>
      <c r="B11" s="6" t="s">
        <v>35</v>
      </c>
      <c r="C11" s="6" t="s">
        <v>36</v>
      </c>
      <c r="D11" s="9" t="s">
        <v>11</v>
      </c>
      <c r="E11" s="8" t="s">
        <v>12</v>
      </c>
    </row>
    <row r="12">
      <c r="A12" s="3" t="s">
        <v>37</v>
      </c>
      <c r="B12" s="4"/>
      <c r="C12" s="4"/>
      <c r="D12" s="4"/>
      <c r="E12" s="5"/>
    </row>
    <row r="13">
      <c r="A13" s="6" t="s">
        <v>38</v>
      </c>
      <c r="B13" s="6" t="s">
        <v>39</v>
      </c>
      <c r="C13" s="6" t="s">
        <v>40</v>
      </c>
      <c r="D13" s="9" t="s">
        <v>11</v>
      </c>
      <c r="E13" s="8" t="s">
        <v>12</v>
      </c>
    </row>
    <row r="14">
      <c r="A14" s="6" t="s">
        <v>41</v>
      </c>
      <c r="B14" s="6" t="s">
        <v>42</v>
      </c>
      <c r="C14" s="6" t="s">
        <v>43</v>
      </c>
      <c r="D14" s="9" t="s">
        <v>44</v>
      </c>
      <c r="E14" s="10" t="s">
        <v>13</v>
      </c>
    </row>
    <row r="15">
      <c r="A15" s="6" t="s">
        <v>45</v>
      </c>
      <c r="B15" s="6" t="s">
        <v>46</v>
      </c>
      <c r="C15" s="6" t="s">
        <v>47</v>
      </c>
      <c r="D15" s="9" t="s">
        <v>44</v>
      </c>
      <c r="E15" s="8" t="s">
        <v>12</v>
      </c>
    </row>
    <row r="16">
      <c r="A16" s="3" t="s">
        <v>48</v>
      </c>
      <c r="B16" s="4"/>
      <c r="C16" s="4"/>
      <c r="D16" s="4"/>
      <c r="E16" s="5"/>
    </row>
    <row r="17">
      <c r="A17" s="6" t="s">
        <v>49</v>
      </c>
      <c r="B17" s="6" t="s">
        <v>50</v>
      </c>
      <c r="C17" s="6" t="s">
        <v>51</v>
      </c>
      <c r="D17" s="9" t="s">
        <v>44</v>
      </c>
      <c r="E17" s="8" t="s">
        <v>17</v>
      </c>
    </row>
    <row r="18">
      <c r="A18" s="6" t="s">
        <v>52</v>
      </c>
      <c r="B18" s="6" t="s">
        <v>53</v>
      </c>
      <c r="C18" s="6" t="s">
        <v>54</v>
      </c>
      <c r="D18" s="9" t="s">
        <v>55</v>
      </c>
      <c r="E18" s="12" t="s">
        <v>12</v>
      </c>
    </row>
    <row r="19">
      <c r="A19" s="13">
        <v>4.3</v>
      </c>
      <c r="B19" s="7" t="s">
        <v>56</v>
      </c>
      <c r="C19" s="7" t="s">
        <v>57</v>
      </c>
      <c r="D19" s="11" t="s">
        <v>11</v>
      </c>
      <c r="E19" s="12" t="s">
        <v>17</v>
      </c>
    </row>
    <row r="20">
      <c r="A20" s="3" t="s">
        <v>58</v>
      </c>
      <c r="B20" s="4"/>
      <c r="C20" s="4"/>
      <c r="D20" s="4"/>
      <c r="E20" s="5"/>
    </row>
    <row r="21">
      <c r="A21" s="6" t="s">
        <v>59</v>
      </c>
      <c r="B21" s="6" t="s">
        <v>60</v>
      </c>
      <c r="C21" s="6" t="s">
        <v>61</v>
      </c>
      <c r="D21" s="9" t="s">
        <v>62</v>
      </c>
      <c r="E21" s="14" t="s">
        <v>17</v>
      </c>
    </row>
    <row r="22" ht="15.75" customHeight="1">
      <c r="A22" s="6" t="s">
        <v>63</v>
      </c>
      <c r="B22" s="6" t="s">
        <v>64</v>
      </c>
      <c r="C22" s="6" t="s">
        <v>65</v>
      </c>
      <c r="D22" s="9" t="s">
        <v>11</v>
      </c>
      <c r="E22" s="15" t="s">
        <v>17</v>
      </c>
    </row>
    <row r="23" ht="15.75" customHeight="1">
      <c r="A23" s="6" t="s">
        <v>66</v>
      </c>
      <c r="B23" s="6" t="s">
        <v>67</v>
      </c>
      <c r="C23" s="6" t="s">
        <v>68</v>
      </c>
      <c r="D23" s="9" t="s">
        <v>11</v>
      </c>
      <c r="E23" s="15" t="s">
        <v>12</v>
      </c>
    </row>
    <row r="24" ht="15.75" customHeight="1">
      <c r="A24" s="16" t="s">
        <v>69</v>
      </c>
      <c r="B24" s="4"/>
      <c r="C24" s="4"/>
      <c r="D24" s="4"/>
      <c r="E24" s="5"/>
    </row>
    <row r="25" ht="15.75" customHeight="1">
      <c r="A25" s="13">
        <v>6.1</v>
      </c>
      <c r="B25" s="17" t="s">
        <v>70</v>
      </c>
      <c r="C25" s="17" t="s">
        <v>71</v>
      </c>
      <c r="D25" s="7" t="s">
        <v>44</v>
      </c>
      <c r="E25" s="7" t="s">
        <v>12</v>
      </c>
    </row>
    <row r="26" ht="15.75" customHeight="1">
      <c r="A26" s="13">
        <v>6.2</v>
      </c>
      <c r="B26" s="17" t="s">
        <v>72</v>
      </c>
      <c r="C26" s="17" t="s">
        <v>73</v>
      </c>
      <c r="D26" s="11" t="s">
        <v>11</v>
      </c>
      <c r="E26" s="7" t="s">
        <v>12</v>
      </c>
    </row>
    <row r="27" ht="15.75" customHeight="1">
      <c r="A27" s="13">
        <v>6.3</v>
      </c>
      <c r="B27" s="17" t="s">
        <v>74</v>
      </c>
      <c r="C27" s="17" t="s">
        <v>75</v>
      </c>
      <c r="D27" s="11" t="s">
        <v>44</v>
      </c>
      <c r="E27" s="7" t="s">
        <v>12</v>
      </c>
    </row>
    <row r="28" ht="15.75" customHeight="1">
      <c r="A28" s="13">
        <v>6.4</v>
      </c>
      <c r="B28" s="17" t="s">
        <v>76</v>
      </c>
      <c r="C28" s="17" t="s">
        <v>77</v>
      </c>
      <c r="D28" s="7" t="s">
        <v>11</v>
      </c>
      <c r="E28" s="7" t="s">
        <v>12</v>
      </c>
    </row>
    <row r="29" ht="15.75" customHeight="1">
      <c r="A29" s="13">
        <v>6.5</v>
      </c>
      <c r="B29" s="17" t="s">
        <v>78</v>
      </c>
      <c r="C29" s="17" t="s">
        <v>79</v>
      </c>
      <c r="D29" s="7" t="s">
        <v>62</v>
      </c>
      <c r="E29" s="7" t="s">
        <v>12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6">
    <mergeCell ref="A2:E2"/>
    <mergeCell ref="A8:E8"/>
    <mergeCell ref="A12:E12"/>
    <mergeCell ref="A16:E16"/>
    <mergeCell ref="A20:E20"/>
    <mergeCell ref="A24:E24"/>
  </mergeCells>
  <conditionalFormatting sqref="E2:E23">
    <cfRule type="expression" dxfId="0" priority="1">
      <formula>$E2="Not Started"</formula>
    </cfRule>
  </conditionalFormatting>
  <conditionalFormatting sqref="E2:E23">
    <cfRule type="expression" dxfId="1" priority="2">
      <formula>$E2="Ongoing"</formula>
    </cfRule>
  </conditionalFormatting>
  <conditionalFormatting sqref="E2:E23">
    <cfRule type="expression" dxfId="2" priority="3">
      <formula>$E2="Completed"</formula>
    </cfRule>
  </conditionalFormatting>
  <dataValidations>
    <dataValidation type="list" allowBlank="1" showErrorMessage="1" sqref="E17 E25:E29">
      <formula1>"Not Started,Ongoing,Completed"</formula1>
    </dataValidation>
    <dataValidation type="list" allowBlank="1" showErrorMessage="1" sqref="D4:D7 D9:D11 D13:D15 D17:D19 D22:D23">
      <formula1>"Low,Medium,High,Critical"</formula1>
    </dataValidation>
    <dataValidation type="list" allowBlank="1" showErrorMessage="1" sqref="E3:E7 E9:E11 E13:E15 E18:E19 E22:E23">
      <formula1>"Not Started,Ongoing,Completed"</formula1>
    </dataValidation>
    <dataValidation type="list" allowBlank="1" showErrorMessage="1" sqref="E21">
      <formula1>"Not Started,Ongoing,Completed"</formula1>
    </dataValidation>
    <dataValidation type="list" allowBlank="1" showErrorMessage="1" sqref="D3 D21 D25:D29">
      <formula1>"Low,Medium,High,Critical"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35.57"/>
    <col customWidth="1" min="3" max="3" width="53.14"/>
    <col customWidth="1" min="8" max="8" width="12.14"/>
    <col customWidth="1" min="9" max="9" width="11.86"/>
  </cols>
  <sheetData>
    <row r="1">
      <c r="A1" s="18" t="s">
        <v>80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81</v>
      </c>
      <c r="G1" s="18" t="s">
        <v>82</v>
      </c>
      <c r="H1" s="19"/>
      <c r="I1" s="20" t="s">
        <v>83</v>
      </c>
      <c r="J1" s="19"/>
    </row>
    <row r="2">
      <c r="A2" s="17">
        <v>1.1</v>
      </c>
      <c r="B2" s="17" t="s">
        <v>9</v>
      </c>
      <c r="C2" s="17" t="s">
        <v>10</v>
      </c>
      <c r="D2" s="17" t="str">
        <f>'Faculty-Class Match Backlog'!D7</f>
        <v>High</v>
      </c>
      <c r="E2" s="17" t="str">
        <f>'Faculty-Class Match Backlog'!E3</f>
        <v>Completed</v>
      </c>
      <c r="F2" s="21">
        <v>4.0</v>
      </c>
      <c r="G2" s="20" t="s">
        <v>84</v>
      </c>
      <c r="H2" s="17" t="s">
        <v>13</v>
      </c>
      <c r="I2" s="21">
        <f>SUMIF(E:E, "Not Started", F:F)
</f>
        <v>0</v>
      </c>
      <c r="J2" s="21"/>
    </row>
    <row r="3">
      <c r="A3" s="17">
        <v>1.2</v>
      </c>
      <c r="B3" s="17" t="s">
        <v>15</v>
      </c>
      <c r="C3" s="17" t="s">
        <v>16</v>
      </c>
      <c r="D3" s="17" t="str">
        <f>'Faculty-Class Match Backlog'!D4</f>
        <v>High</v>
      </c>
      <c r="E3" s="17" t="str">
        <f>'Faculty-Class Match Backlog'!E4</f>
        <v>Completed</v>
      </c>
      <c r="F3" s="21">
        <v>3.0</v>
      </c>
      <c r="G3" s="20" t="s">
        <v>85</v>
      </c>
      <c r="H3" s="17" t="s">
        <v>17</v>
      </c>
      <c r="I3" s="21">
        <f>SUMIF(E:E, "Ongoing", F:F)
</f>
        <v>0</v>
      </c>
      <c r="J3" s="21"/>
    </row>
    <row r="4">
      <c r="A4" s="17">
        <v>1.3</v>
      </c>
      <c r="B4" s="17" t="s">
        <v>19</v>
      </c>
      <c r="C4" s="17" t="s">
        <v>20</v>
      </c>
      <c r="D4" s="17" t="str">
        <f>'Faculty-Class Match Backlog'!D5</f>
        <v>High</v>
      </c>
      <c r="E4" s="17" t="str">
        <f>'Faculty-Class Match Backlog'!E5</f>
        <v>Completed</v>
      </c>
      <c r="F4" s="21">
        <v>4.0</v>
      </c>
      <c r="G4" s="20" t="s">
        <v>85</v>
      </c>
      <c r="H4" s="17" t="s">
        <v>12</v>
      </c>
      <c r="I4" s="21">
        <f>SUMIF(E:E, "Completed", F:F)
</f>
        <v>19</v>
      </c>
      <c r="J4" s="21"/>
    </row>
    <row r="5">
      <c r="A5" s="17">
        <v>1.4</v>
      </c>
      <c r="B5" s="17" t="s">
        <v>22</v>
      </c>
      <c r="C5" s="17" t="s">
        <v>23</v>
      </c>
      <c r="D5" s="17" t="str">
        <f>'Faculty-Class Match Backlog'!D6</f>
        <v>High</v>
      </c>
      <c r="E5" s="17" t="str">
        <f>'Faculty-Class Match Backlog'!E6</f>
        <v>Completed</v>
      </c>
      <c r="F5" s="21">
        <v>4.0</v>
      </c>
      <c r="G5" s="20" t="s">
        <v>85</v>
      </c>
      <c r="H5" s="19"/>
      <c r="I5" s="19"/>
      <c r="J5" s="21"/>
    </row>
    <row r="6">
      <c r="A6" s="17">
        <v>1.5</v>
      </c>
      <c r="B6" s="17" t="s">
        <v>25</v>
      </c>
      <c r="C6" s="17" t="s">
        <v>26</v>
      </c>
      <c r="D6" s="17" t="str">
        <f>'Faculty-Class Match Backlog'!D7</f>
        <v>High</v>
      </c>
      <c r="E6" s="17" t="str">
        <f>'Faculty-Class Match Backlog'!E7</f>
        <v>Completed</v>
      </c>
      <c r="F6" s="21">
        <v>4.0</v>
      </c>
      <c r="G6" s="20" t="s">
        <v>85</v>
      </c>
      <c r="H6" s="19"/>
      <c r="I6" s="19"/>
      <c r="J6" s="21"/>
    </row>
    <row r="7">
      <c r="A7" s="19"/>
      <c r="B7" s="19"/>
      <c r="C7" s="19"/>
      <c r="D7" s="19"/>
      <c r="E7" s="19"/>
      <c r="F7" s="20"/>
      <c r="G7" s="19"/>
      <c r="H7" s="19"/>
      <c r="I7" s="19"/>
      <c r="J7" s="19"/>
    </row>
    <row r="8">
      <c r="A8" s="17" t="s">
        <v>86</v>
      </c>
      <c r="B8" s="22">
        <f>SUM(F:F)</f>
        <v>19</v>
      </c>
      <c r="C8" s="19"/>
      <c r="D8" s="19"/>
      <c r="E8" s="19"/>
      <c r="F8" s="19"/>
      <c r="G8" s="19"/>
      <c r="H8" s="19"/>
      <c r="I8" s="19"/>
      <c r="J8" s="19"/>
    </row>
  </sheetData>
  <dataValidations>
    <dataValidation type="list" allowBlank="1" showErrorMessage="1" sqref="G2:G6">
      <formula1>"Phoenix,Ryan,Alex,Andy,Zack,ALL"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26.86"/>
    <col customWidth="1" min="3" max="3" width="40.14"/>
    <col customWidth="1" min="4" max="4" width="12.29"/>
    <col customWidth="1" min="5" max="5" width="11.86"/>
    <col customWidth="1" min="8" max="8" width="11.14"/>
    <col customWidth="1" min="9" max="9" width="12.29"/>
  </cols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81</v>
      </c>
      <c r="G1" s="18" t="s">
        <v>82</v>
      </c>
      <c r="H1" s="19"/>
      <c r="I1" s="20" t="s">
        <v>83</v>
      </c>
      <c r="J1" s="19"/>
    </row>
    <row r="2">
      <c r="A2" s="17">
        <v>2.2</v>
      </c>
      <c r="B2" s="17" t="s">
        <v>32</v>
      </c>
      <c r="C2" s="17" t="s">
        <v>33</v>
      </c>
      <c r="D2" s="17" t="str">
        <f>'Faculty-Class Match Backlog'!D10</f>
        <v>High</v>
      </c>
      <c r="E2" s="17" t="str">
        <f>'Faculty-Class Match Backlog'!E10</f>
        <v>Completed</v>
      </c>
      <c r="F2" s="21">
        <v>6.0</v>
      </c>
      <c r="G2" s="20" t="s">
        <v>84</v>
      </c>
      <c r="H2" s="17" t="s">
        <v>13</v>
      </c>
      <c r="I2" s="21">
        <f>SUMIF(E:E, "Not Started", F:F)
</f>
        <v>0</v>
      </c>
      <c r="J2" s="21"/>
    </row>
    <row r="3">
      <c r="A3" s="17">
        <v>2.1</v>
      </c>
      <c r="B3" s="17" t="s">
        <v>29</v>
      </c>
      <c r="C3" s="17" t="s">
        <v>30</v>
      </c>
      <c r="D3" s="17" t="str">
        <f>'Faculty-Class Match Backlog'!D9</f>
        <v>High</v>
      </c>
      <c r="E3" s="17" t="str">
        <f>'Faculty-Class Match Backlog'!E9</f>
        <v>Completed</v>
      </c>
      <c r="F3" s="21">
        <v>4.0</v>
      </c>
      <c r="G3" s="20" t="s">
        <v>85</v>
      </c>
      <c r="H3" s="17" t="s">
        <v>17</v>
      </c>
      <c r="I3" s="21">
        <f>SUMIF(E:E, "Ongoing", F:F)
</f>
        <v>0</v>
      </c>
      <c r="J3" s="21"/>
    </row>
    <row r="4">
      <c r="A4" s="17">
        <v>2.3</v>
      </c>
      <c r="B4" s="17" t="s">
        <v>35</v>
      </c>
      <c r="C4" s="17" t="s">
        <v>36</v>
      </c>
      <c r="D4" s="17" t="str">
        <f>'Faculty-Class Match Backlog'!D11</f>
        <v>High</v>
      </c>
      <c r="E4" s="17" t="str">
        <f>'Faculty-Class Match Backlog'!E11</f>
        <v>Completed</v>
      </c>
      <c r="F4" s="21">
        <v>3.0</v>
      </c>
      <c r="G4" s="20" t="s">
        <v>84</v>
      </c>
      <c r="H4" s="17" t="s">
        <v>12</v>
      </c>
      <c r="I4" s="21">
        <f>SUMIF(E:E, "Completed", F:F)
</f>
        <v>18</v>
      </c>
      <c r="J4" s="21"/>
    </row>
    <row r="5">
      <c r="A5" s="17">
        <v>3.1</v>
      </c>
      <c r="B5" s="17" t="s">
        <v>39</v>
      </c>
      <c r="C5" s="17" t="s">
        <v>40</v>
      </c>
      <c r="D5" s="17" t="str">
        <f>'Faculty-Class Match Backlog'!D13</f>
        <v>High</v>
      </c>
      <c r="E5" s="17" t="str">
        <f>'Faculty-Class Match Backlog'!E13</f>
        <v>Completed</v>
      </c>
      <c r="F5" s="21">
        <v>3.0</v>
      </c>
      <c r="G5" s="20" t="s">
        <v>87</v>
      </c>
      <c r="H5" s="20"/>
      <c r="I5" s="19"/>
      <c r="J5" s="21"/>
    </row>
    <row r="6">
      <c r="A6" s="17">
        <v>4.2</v>
      </c>
      <c r="B6" s="17" t="s">
        <v>53</v>
      </c>
      <c r="C6" s="17" t="s">
        <v>54</v>
      </c>
      <c r="D6" s="17" t="str">
        <f>'Faculty-Class Match Backlog'!D18</f>
        <v>Low</v>
      </c>
      <c r="E6" s="17" t="str">
        <f>'Faculty-Class Match Backlog'!E18</f>
        <v>Completed</v>
      </c>
      <c r="F6" s="21">
        <v>2.0</v>
      </c>
      <c r="G6" s="20" t="s">
        <v>87</v>
      </c>
      <c r="H6" s="20"/>
      <c r="I6" s="19"/>
      <c r="J6" s="21"/>
    </row>
    <row r="7">
      <c r="A7" s="19"/>
      <c r="B7" s="20" t="s">
        <v>88</v>
      </c>
      <c r="C7" s="20" t="s">
        <v>89</v>
      </c>
      <c r="D7" s="20" t="s">
        <v>11</v>
      </c>
      <c r="E7" s="19"/>
      <c r="F7" s="19"/>
      <c r="G7" s="20" t="s">
        <v>87</v>
      </c>
      <c r="H7" s="20"/>
      <c r="I7" s="19"/>
      <c r="J7" s="19"/>
    </row>
    <row r="8">
      <c r="A8" s="19"/>
      <c r="B8" s="19"/>
      <c r="C8" s="19"/>
      <c r="D8" s="19"/>
      <c r="E8" s="19"/>
      <c r="F8" s="19"/>
      <c r="G8" s="19"/>
      <c r="H8" s="19"/>
      <c r="I8" s="19"/>
      <c r="J8" s="19"/>
    </row>
    <row r="9">
      <c r="A9" s="17" t="s">
        <v>86</v>
      </c>
      <c r="B9" s="22">
        <f>SUM(F:F)</f>
        <v>18</v>
      </c>
      <c r="C9" s="19"/>
      <c r="D9" s="19"/>
      <c r="E9" s="19"/>
      <c r="F9" s="19"/>
      <c r="G9" s="19"/>
      <c r="H9" s="19"/>
      <c r="I9" s="19"/>
      <c r="J9" s="19"/>
    </row>
  </sheetData>
  <dataValidations>
    <dataValidation type="list" allowBlank="1" showErrorMessage="1" sqref="G7">
      <formula1>"Option 1,Option 2,Andy"</formula1>
    </dataValidation>
    <dataValidation type="list" allowBlank="1" showErrorMessage="1" sqref="G2:G6">
      <formula1>"Phoenix,Ryan,Alex,Andy,Zack,ALL"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23.86"/>
    <col customWidth="1" min="3" max="3" width="44.29"/>
    <col customWidth="1" min="8" max="8" width="11.57"/>
    <col customWidth="1" min="9" max="9" width="12.14"/>
  </cols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81</v>
      </c>
      <c r="G1" s="18" t="s">
        <v>82</v>
      </c>
      <c r="H1" s="19"/>
      <c r="I1" s="20" t="s">
        <v>83</v>
      </c>
      <c r="J1" s="19"/>
    </row>
    <row r="2">
      <c r="A2" s="17">
        <v>3.2</v>
      </c>
      <c r="B2" s="17" t="s">
        <v>42</v>
      </c>
      <c r="C2" s="17" t="s">
        <v>43</v>
      </c>
      <c r="D2" s="17" t="str">
        <f>'Faculty-Class Match Backlog'!D14</f>
        <v>Medium</v>
      </c>
      <c r="E2" s="17" t="str">
        <f>'Faculty-Class Match Backlog'!E14</f>
        <v>Not Started</v>
      </c>
      <c r="F2" s="21">
        <v>4.0</v>
      </c>
      <c r="G2" s="20" t="s">
        <v>85</v>
      </c>
      <c r="H2" s="17" t="s">
        <v>13</v>
      </c>
      <c r="I2" s="21">
        <f>SUMIF(E:E, "Not Started", F:F)
</f>
        <v>4</v>
      </c>
      <c r="J2" s="21"/>
    </row>
    <row r="3">
      <c r="A3" s="17">
        <v>3.3</v>
      </c>
      <c r="B3" s="17" t="s">
        <v>46</v>
      </c>
      <c r="C3" s="17" t="s">
        <v>47</v>
      </c>
      <c r="D3" s="17" t="str">
        <f>'Faculty-Class Match Backlog'!D15</f>
        <v>Medium</v>
      </c>
      <c r="E3" s="17" t="str">
        <f>'Faculty-Class Match Backlog'!E15</f>
        <v>Completed</v>
      </c>
      <c r="F3" s="21">
        <v>3.0</v>
      </c>
      <c r="G3" s="20" t="s">
        <v>85</v>
      </c>
      <c r="H3" s="17" t="s">
        <v>17</v>
      </c>
      <c r="I3" s="21">
        <f>SUMIF(E:E, "Ongoing", F:F)
</f>
        <v>9</v>
      </c>
      <c r="J3" s="21"/>
    </row>
    <row r="4">
      <c r="A4" s="17">
        <v>4.1</v>
      </c>
      <c r="B4" s="17" t="s">
        <v>50</v>
      </c>
      <c r="C4" s="17" t="s">
        <v>51</v>
      </c>
      <c r="D4" s="17" t="str">
        <f>'Faculty-Class Match Backlog'!D17</f>
        <v>Medium</v>
      </c>
      <c r="E4" s="17" t="str">
        <f>'Faculty-Class Match Backlog'!E17</f>
        <v>Ongoing</v>
      </c>
      <c r="F4" s="21">
        <v>4.0</v>
      </c>
      <c r="G4" s="19"/>
      <c r="H4" s="17" t="s">
        <v>12</v>
      </c>
      <c r="I4" s="21">
        <f>SUMIF(E:E, "Completed", F:F)
</f>
        <v>6</v>
      </c>
      <c r="J4" s="21"/>
    </row>
    <row r="5">
      <c r="A5" s="17">
        <v>5.1</v>
      </c>
      <c r="B5" s="17" t="s">
        <v>60</v>
      </c>
      <c r="C5" s="17" t="s">
        <v>61</v>
      </c>
      <c r="D5" s="17" t="str">
        <f>'Faculty-Class Match Backlog'!D21</f>
        <v>Critical</v>
      </c>
      <c r="E5" s="17" t="str">
        <f>'Faculty-Class Match Backlog'!E21</f>
        <v>Ongoing</v>
      </c>
      <c r="F5" s="21">
        <v>2.0</v>
      </c>
      <c r="G5" s="20" t="s">
        <v>90</v>
      </c>
      <c r="H5" s="19"/>
      <c r="I5" s="19"/>
      <c r="J5" s="21"/>
    </row>
    <row r="6">
      <c r="A6" s="17">
        <v>5.2</v>
      </c>
      <c r="B6" s="17" t="s">
        <v>64</v>
      </c>
      <c r="C6" s="17" t="s">
        <v>65</v>
      </c>
      <c r="D6" s="17" t="str">
        <f>'Faculty-Class Match Backlog'!D22</f>
        <v>High</v>
      </c>
      <c r="E6" s="17" t="str">
        <f>'Faculty-Class Match Backlog'!E22</f>
        <v>Ongoing</v>
      </c>
      <c r="F6" s="21">
        <v>3.0</v>
      </c>
      <c r="G6" s="20" t="s">
        <v>90</v>
      </c>
      <c r="H6" s="19"/>
      <c r="I6" s="19"/>
      <c r="J6" s="21"/>
    </row>
    <row r="7">
      <c r="A7" s="17">
        <v>5.3</v>
      </c>
      <c r="B7" s="17" t="s">
        <v>67</v>
      </c>
      <c r="C7" s="17" t="s">
        <v>68</v>
      </c>
      <c r="D7" s="17" t="str">
        <f>'Faculty-Class Match Backlog'!D23</f>
        <v>High</v>
      </c>
      <c r="E7" s="17" t="str">
        <f>'Faculty-Class Match Backlog'!E23</f>
        <v>Completed</v>
      </c>
      <c r="F7" s="21">
        <v>3.0</v>
      </c>
      <c r="G7" s="20" t="s">
        <v>91</v>
      </c>
      <c r="H7" s="19"/>
      <c r="I7" s="19"/>
      <c r="J7" s="21"/>
    </row>
    <row r="8">
      <c r="A8" s="19"/>
      <c r="B8" s="19"/>
      <c r="C8" s="19"/>
      <c r="D8" s="19"/>
      <c r="E8" s="19"/>
      <c r="F8" s="19"/>
      <c r="G8" s="19"/>
      <c r="H8" s="19"/>
      <c r="I8" s="19"/>
      <c r="J8" s="19"/>
    </row>
    <row r="9">
      <c r="A9" s="17" t="s">
        <v>86</v>
      </c>
      <c r="B9" s="22">
        <f>SUM(F:F)</f>
        <v>19</v>
      </c>
      <c r="C9" s="19"/>
      <c r="D9" s="19"/>
      <c r="E9" s="19"/>
      <c r="F9" s="19"/>
      <c r="H9" s="19"/>
      <c r="I9" s="19"/>
      <c r="J9" s="19"/>
    </row>
  </sheetData>
  <dataValidations>
    <dataValidation type="list" allowBlank="1" showErrorMessage="1" sqref="G2:G7">
      <formula1>"Phoenix,Ryan,Alex,Andy,Zack,ALL"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3.43"/>
    <col customWidth="1" min="3" max="3" width="42.14"/>
  </cols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81</v>
      </c>
      <c r="G1" s="18" t="s">
        <v>82</v>
      </c>
      <c r="H1" s="19"/>
      <c r="I1" s="20" t="s">
        <v>83</v>
      </c>
    </row>
    <row r="2">
      <c r="A2" s="17">
        <v>6.1</v>
      </c>
      <c r="B2" s="17" t="s">
        <v>70</v>
      </c>
      <c r="C2" s="17" t="s">
        <v>92</v>
      </c>
      <c r="D2" s="17" t="str">
        <f>'Faculty-Class Match Backlog'!D14</f>
        <v>Medium</v>
      </c>
      <c r="E2" s="17" t="str">
        <f>'Faculty-Class Match Backlog'!E25</f>
        <v>Completed</v>
      </c>
      <c r="F2" s="21">
        <v>6.0</v>
      </c>
      <c r="G2" s="20" t="s">
        <v>91</v>
      </c>
      <c r="H2" s="17" t="s">
        <v>13</v>
      </c>
      <c r="I2" s="21">
        <f>SUMIF(E:E, "Not Started", F:F)
</f>
        <v>0</v>
      </c>
    </row>
    <row r="3">
      <c r="A3" s="17">
        <v>6.2</v>
      </c>
      <c r="B3" s="17" t="s">
        <v>72</v>
      </c>
      <c r="C3" s="17" t="s">
        <v>93</v>
      </c>
      <c r="D3" s="17" t="str">
        <f>'Faculty-Class Match Backlog'!D15</f>
        <v>Medium</v>
      </c>
      <c r="E3" s="17" t="str">
        <f>'Faculty-Class Match Backlog'!E26</f>
        <v>Completed</v>
      </c>
      <c r="F3" s="21">
        <v>4.0</v>
      </c>
      <c r="G3" s="20" t="s">
        <v>90</v>
      </c>
      <c r="H3" s="17" t="s">
        <v>17</v>
      </c>
      <c r="I3" s="21">
        <f>SUMIF(E:E, "Ongoing", F:F)
</f>
        <v>0</v>
      </c>
    </row>
    <row r="4">
      <c r="A4" s="17">
        <v>6.3</v>
      </c>
      <c r="B4" s="17" t="s">
        <v>74</v>
      </c>
      <c r="C4" s="17" t="s">
        <v>75</v>
      </c>
      <c r="D4" s="17" t="str">
        <f>'Faculty-Class Match Backlog'!D17</f>
        <v>Medium</v>
      </c>
      <c r="E4" s="17" t="str">
        <f>'Faculty-Class Match Backlog'!E27</f>
        <v>Completed</v>
      </c>
      <c r="F4" s="21">
        <v>2.0</v>
      </c>
      <c r="G4" s="20" t="s">
        <v>90</v>
      </c>
      <c r="H4" s="17" t="s">
        <v>12</v>
      </c>
      <c r="I4" s="21">
        <f>SUMIF(E:E, "Completed", F:F)
</f>
        <v>20</v>
      </c>
    </row>
    <row r="5">
      <c r="A5" s="17">
        <v>6.4</v>
      </c>
      <c r="B5" s="17" t="s">
        <v>76</v>
      </c>
      <c r="C5" s="17" t="s">
        <v>77</v>
      </c>
      <c r="D5" s="17" t="str">
        <f>'Faculty-Class Match Backlog'!D21</f>
        <v>Critical</v>
      </c>
      <c r="E5" s="17" t="str">
        <f>'Faculty-Class Match Backlog'!E28</f>
        <v>Completed</v>
      </c>
      <c r="F5" s="21">
        <v>2.0</v>
      </c>
      <c r="G5" s="20" t="s">
        <v>90</v>
      </c>
      <c r="H5" s="17"/>
      <c r="I5" s="23"/>
    </row>
    <row r="6">
      <c r="A6" s="17">
        <v>6.5</v>
      </c>
      <c r="B6" s="17" t="s">
        <v>78</v>
      </c>
      <c r="C6" s="17" t="s">
        <v>94</v>
      </c>
      <c r="D6" s="17" t="str">
        <f>'Faculty-Class Match Backlog'!D22</f>
        <v>High</v>
      </c>
      <c r="E6" s="17" t="str">
        <f>'Faculty-Class Match Backlog'!E29</f>
        <v>Completed</v>
      </c>
      <c r="F6" s="21">
        <v>6.0</v>
      </c>
      <c r="G6" s="20" t="s">
        <v>90</v>
      </c>
      <c r="H6" s="17"/>
      <c r="I6" s="23"/>
    </row>
    <row r="7">
      <c r="A7" s="17"/>
      <c r="B7" s="17"/>
      <c r="C7" s="17"/>
      <c r="D7" s="17"/>
      <c r="E7" s="17" t="str">
        <f>'Faculty-Class Match Backlog'!E30</f>
        <v/>
      </c>
      <c r="F7" s="21"/>
      <c r="G7" s="20"/>
      <c r="H7" s="19"/>
      <c r="I7" s="19"/>
    </row>
    <row r="8">
      <c r="A8" s="19"/>
      <c r="B8" s="19"/>
      <c r="C8" s="19"/>
      <c r="D8" s="19"/>
      <c r="E8" s="19"/>
      <c r="F8" s="19"/>
      <c r="G8" s="19"/>
      <c r="H8" s="19"/>
      <c r="I8" s="19"/>
    </row>
    <row r="9">
      <c r="A9" s="17" t="s">
        <v>86</v>
      </c>
      <c r="B9" s="22">
        <f>SUM(F:F)</f>
        <v>20</v>
      </c>
      <c r="C9" s="19"/>
      <c r="D9" s="19"/>
      <c r="E9" s="19"/>
      <c r="F9" s="19"/>
      <c r="H9" s="19"/>
      <c r="I9" s="19"/>
    </row>
  </sheetData>
  <dataValidations>
    <dataValidation type="list" allowBlank="1" showErrorMessage="1" sqref="G2:G6">
      <formula1>"Phoenix,Ryan,Alex,Andy,Zack,ALL"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2025-10-16T03:48:46Z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